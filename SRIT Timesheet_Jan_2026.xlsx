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mc:AlternateContent xmlns:mc="http://schemas.openxmlformats.org/markup-compatibility/2006">
    <mc:Choice Requires="x15">
      <x15ac:absPath xmlns:x15ac="http://schemas.microsoft.com/office/spreadsheetml/2010/11/ac" url="https://sritgroupindia-my.sharepoint.com/personal/harika_g_sritgroup_com/Documents/Desktop/"/>
    </mc:Choice>
  </mc:AlternateContent>
  <xr:revisionPtr revIDLastSave="126" documentId="8_{54A986A0-527A-4464-8409-00F686CFECCC}" xr6:coauthVersionLast="47" xr6:coauthVersionMax="47" xr10:uidLastSave="{4F934C8B-C96C-4D10-90F1-43EFA60225F4}"/>
  <workbookProtection workbookAlgorithmName="SHA-512" workbookHashValue="g0f3jGX+0zTr3KssYQG4MyLVuq/g8y7F2guoN0Z1QP6znvECOla0Zr69dntu7dJxBT6BJGsqnoc5XoXbI59A9A==" workbookSaltValue="07G039B6gey9/0/YsVJHPQ==" workbookSpinCount="100000" lockStructure="1"/>
  <bookViews>
    <workbookView xWindow="-110" yWindow="-110" windowWidth="19420" windowHeight="10300" xr2:uid="{04667D2F-56AA-4B28-A60A-9816A3EB184C}"/>
  </bookViews>
  <sheets>
    <sheet name="Timesheet" sheetId="3" r:id="rId1"/>
    <sheet name="Sheet2" sheetId="2" state="veryHidden"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3" l="1"/>
  <c r="G15" i="3"/>
  <c r="G18" i="3"/>
  <c r="G19" i="3"/>
  <c r="G20" i="3"/>
  <c r="G23" i="3"/>
  <c r="G24" i="3"/>
  <c r="G25" i="3"/>
  <c r="G26" i="3"/>
  <c r="G27" i="3"/>
  <c r="G30" i="3"/>
  <c r="G31" i="3"/>
  <c r="G32" i="3"/>
  <c r="G33" i="3"/>
  <c r="G34" i="3"/>
  <c r="G37" i="3"/>
  <c r="G40" i="3"/>
  <c r="G41" i="3"/>
  <c r="G13" i="3"/>
  <c r="A14" i="3"/>
  <c r="B14" i="3" s="1"/>
  <c r="A15" i="3"/>
  <c r="B15" i="3" s="1"/>
  <c r="A16" i="3"/>
  <c r="B16" i="3" s="1"/>
  <c r="A17" i="3"/>
  <c r="B17" i="3" s="1"/>
  <c r="A18" i="3"/>
  <c r="B18" i="3" s="1"/>
  <c r="A19" i="3"/>
  <c r="B19" i="3" s="1"/>
  <c r="A20" i="3"/>
  <c r="B20" i="3" s="1"/>
  <c r="A21" i="3"/>
  <c r="B21" i="3" s="1"/>
  <c r="A22" i="3"/>
  <c r="B22" i="3" s="1"/>
  <c r="A23" i="3"/>
  <c r="B23" i="3" s="1"/>
  <c r="A24" i="3"/>
  <c r="B24" i="3" s="1"/>
  <c r="A25" i="3"/>
  <c r="B25" i="3" s="1"/>
  <c r="A26" i="3"/>
  <c r="B26" i="3" s="1"/>
  <c r="A27" i="3"/>
  <c r="B27" i="3" s="1"/>
  <c r="A28" i="3"/>
  <c r="B28" i="3" s="1"/>
  <c r="A29" i="3"/>
  <c r="B29" i="3" s="1"/>
  <c r="A30" i="3"/>
  <c r="B30" i="3" s="1"/>
  <c r="A31" i="3"/>
  <c r="B31" i="3" s="1"/>
  <c r="A32" i="3"/>
  <c r="B32" i="3" s="1"/>
  <c r="A33" i="3"/>
  <c r="B33" i="3" s="1"/>
  <c r="A34" i="3"/>
  <c r="B34" i="3" s="1"/>
  <c r="A35" i="3"/>
  <c r="B35" i="3" s="1"/>
  <c r="A36" i="3"/>
  <c r="B36" i="3" s="1"/>
  <c r="A37" i="3"/>
  <c r="B37" i="3" s="1"/>
  <c r="A38" i="3"/>
  <c r="B38" i="3" s="1"/>
  <c r="A39" i="3"/>
  <c r="B39" i="3" s="1"/>
  <c r="A40" i="3"/>
  <c r="B40" i="3" s="1"/>
  <c r="A41" i="3"/>
  <c r="B41" i="3" s="1"/>
  <c r="A42" i="3"/>
  <c r="B42" i="3" s="1"/>
  <c r="A43" i="3"/>
  <c r="B43" i="3" s="1"/>
  <c r="A13" i="3"/>
  <c r="B13" i="3"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<sst xmlns="http://schemas.openxmlformats.org/spreadsheetml/2006/main" count="120" uniqueCount="47">
  <si>
    <t>Monthly Timesheet</t>
  </si>
  <si>
    <t>Name of the Employee</t>
  </si>
  <si>
    <t>Sayed Mohammed Anas</t>
  </si>
  <si>
    <t>P404, P4, The Binary By Omniyat, Business Bay, Dubai.
PO Box: 14207,
Website: https://sritgroup.com</t>
  </si>
  <si>
    <t>Client Employee ID</t>
  </si>
  <si>
    <t>Client Name</t>
  </si>
  <si>
    <t>Finance House</t>
  </si>
  <si>
    <t>Project Name</t>
  </si>
  <si>
    <t>CarpeYom</t>
  </si>
  <si>
    <t>Line Manager Name</t>
  </si>
  <si>
    <t>Muhammed Ammar Khan</t>
  </si>
  <si>
    <t>Department</t>
  </si>
  <si>
    <t>Backend Developer</t>
  </si>
  <si>
    <t>Timesheet Month</t>
  </si>
  <si>
    <t>Date</t>
  </si>
  <si>
    <t>Day</t>
  </si>
  <si>
    <t>Task/Project Worked on</t>
  </si>
  <si>
    <t>Work From Office/Remote</t>
  </si>
  <si>
    <t>Time-in</t>
  </si>
  <si>
    <t>Time-out</t>
  </si>
  <si>
    <t>Total Hrs</t>
  </si>
  <si>
    <t>Performed restructuring of product details and updated the Product API to support required modifications. Worked on designing and improving the course and assessment structure for the Mobile API.</t>
  </si>
  <si>
    <t>Investigated and resolved the Business Partner translation fetching issue and corrected the ordering in the Workflow Tag.</t>
  </si>
  <si>
    <t>Week-Off</t>
  </si>
  <si>
    <t>Worked on the course and assessment summary calculation logic to enable detailed summary views of courses and assessments. Also addressed blob validation errors and implemented fixes for image decoding logic.</t>
  </si>
  <si>
    <t>Implemented Update workflow to match New Createw Workflow with the Bussiness Requriment and Ensured Approval Routing and Status translations align with Exisiting Create Workflow</t>
  </si>
  <si>
    <t xml:space="preserve">Enhanced the Product Detailed API to Include the Complete Workflow Details in both main and the History Table responsew to enable the role based Approval Actions on the Frontend </t>
  </si>
  <si>
    <t>Added email notification support for Send HG user credentials,Indroduced a new notification templete code,implented secure password generation and enabled automatic Credentials emails to BP users via notification queue</t>
  </si>
  <si>
    <t>Reviewed and designed database structure for Community Partner lead Creation Flow, Covering the Product Eligibility,Lead Validations. BP Integrations.Also Implemented the Database Structure for the Lead Creation</t>
  </si>
  <si>
    <t>Created the Connection in between the Lead table and all other Product Tables, And researched about the Lead Flow Process also</t>
  </si>
  <si>
    <t>Started to create the Controller and the Entities for the Lead Module,Create a Endpoint for the Daily Count Validation</t>
  </si>
  <si>
    <t>Added the Dummy data in the Lead Table and do the collection to the product Table, and Inserted the Dummy data through Create Lead API</t>
  </si>
  <si>
    <t>Fixed the Merge Issues while Merging all the Branched to the Main Branch</t>
  </si>
  <si>
    <t>Worked on the Dynamic Lead Form API and the Vlaidation for the Same API as dynamic,Also added a structure in which it will be validate it as per the DB</t>
  </si>
  <si>
    <t>Designed and implemented API for lead submission with the prospect details and the questionnaire repsones. Handled duplicate lead validation,product sepecfic rules , CP specific checks,direct integration status, and added validations,transactions,logging and error handling.</t>
  </si>
  <si>
    <t>Created the validation in the prospect Details logic and also worked in the new API for the Summary Count in the Mobile API</t>
  </si>
  <si>
    <t>Worked in the Fetch the Lead Details by ID and in there add the logic add the information which need to have in the Mobile APP</t>
  </si>
  <si>
    <t>Updated lead status handling by adding an Inprogress and Closed status in the Fetch Lead API made the response in the successful,inprogress and failed Leads. Also Validated the Response from this API.</t>
  </si>
  <si>
    <t>Developed GetEarning API endpoint to fetch prospect details. Implemented optimized KINQ and EF Core queries, grouped leads by prospect, and included all relevant information with performance improvements.</t>
  </si>
  <si>
    <t>Sick Leave</t>
  </si>
  <si>
    <t>Updated the Summary Count for prospect earnings from hardcoded values to dynamically generated values and implemented the calculation logic in the same API.</t>
  </si>
  <si>
    <t>Worked in the Lead Earn API and created the Logic on the Lifetime Earning, Yearly earnings and monthly earnings also, Aldo Added the Created Profile Date in the Profile API</t>
  </si>
  <si>
    <t>Employee Name</t>
  </si>
  <si>
    <t>Syed Mohammed Anas</t>
  </si>
  <si>
    <t>Line Manager/ Approved by Name:</t>
  </si>
  <si>
    <t>Employee Signature</t>
  </si>
  <si>
    <t>Line Manager/ Approved by Signature: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</si>
</sst>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C09]d\ mmm\ yyyy;@"/>
  </numFmts>
  <fonts count="5">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4"/>
      <color theme="1"/>
      <name val="Aptos Narrow"/>
      <family val="2"/>
      <scheme val="minor"/>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s>
  <cellStyleXfs count="1">
    <xf numFmtId="0" fontId="0" fillId="0" borderId="0"/>
  </cellStyleXfs>
  <cellXfs count="52">
    <xf numFmtId="0" fontId="0" fillId="0" borderId="0" xfId="0"/>
    <xf numFmtId="17" fontId="0" fillId="0" borderId="0" xfId="0" applyNumberFormat="1"/>
    <xf numFmtId="0" fontId="0" fillId="0" borderId="0" xfId="0" applyProtection="1">
      <protection locked="0" hidden="1"/>
    </xf>
    <xf numFmtId="164" fontId="0" fillId="0" borderId="0" xfId="0" applyNumberFormat="1" applyProtection="1">
      <protection locked="0" hidden="1"/>
    </xf>
    <xf numFmtId="164" fontId="0" fillId="0" borderId="0" xfId="0" applyNumberFormat="1" applyAlignment="1" applyProtection="1">
      <alignment horizontal="left"/>
      <protection locked="0" hidden="1"/>
    </xf>
    <xf numFmtId="164" fontId="2" fillId="0" borderId="1" xfId="0" applyNumberFormat="1" applyFont="1" applyBorder="1" applyAlignment="1" applyProtection="1">
      <alignment horizontal="left"/>
      <protection locked="0" hidden="1"/>
    </xf>
    <xf numFmtId="164" fontId="2" fillId="0" borderId="1" xfId="0" applyNumberFormat="1" applyFont="1" applyBorder="1" applyProtection="1">
      <protection locked="0" hidden="1"/>
    </xf>
    <xf numFmtId="0" fontId="2" fillId="0" borderId="1" xfId="0" applyFont="1" applyBorder="1" applyProtection="1">
      <protection locked="0" hidden="1"/>
    </xf>
    <xf numFmtId="164" fontId="0" fillId="0" borderId="1" xfId="0" applyNumberFormat="1" applyBorder="1" applyAlignment="1" applyProtection="1">
      <alignment horizontal="left"/>
      <protection locked="0" hidden="1"/>
    </xf>
    <xf numFmtId="0" fontId="0" fillId="0" borderId="1" xfId="0" applyBorder="1" applyProtection="1">
      <protection locked="0" hidden="1"/>
    </xf>
    <xf numFmtId="164" fontId="0" fillId="0" borderId="1" xfId="0" applyNumberFormat="1" applyBorder="1" applyProtection="1">
      <protection locked="0" hidden="1"/>
    </xf>
    <xf numFmtId="0" fontId="0" fillId="0" borderId="7" xfId="0" applyBorder="1" applyProtection="1">
      <protection locked="0" hidden="1"/>
    </xf>
    <xf numFmtId="0" fontId="0" fillId="0" borderId="5" xfId="0" applyBorder="1" applyProtection="1">
      <protection locked="0" hidden="1"/>
    </xf>
    <xf numFmtId="164" fontId="1" fillId="0" borderId="1" xfId="0" applyNumberFormat="1" applyFont="1" applyBorder="1" applyProtection="1">
      <protection locked="0" hidden="1"/>
    </xf>
    <xf numFmtId="0" fontId="3" fillId="0" borderId="2" xfId="0" applyFont="1" applyBorder="1" applyProtection="1">
      <protection locked="0" hidden="1"/>
    </xf>
    <xf numFmtId="164" fontId="0" fillId="0" borderId="9" xfId="0" applyNumberFormat="1" applyBorder="1" applyProtection="1">
      <protection locked="0" hidden="1"/>
    </xf>
    <xf numFmtId="0" fontId="0" fillId="0" borderId="9" xfId="0" applyBorder="1" applyProtection="1">
      <protection locked="0" hidden="1"/>
    </xf>
    <xf numFmtId="164" fontId="0" fillId="0" borderId="12" xfId="0" applyNumberFormat="1" applyBorder="1" applyAlignment="1" applyProtection="1">
      <alignment horizontal="left"/>
      <protection locked="0" hidden="1"/>
    </xf>
    <xf numFmtId="164" fontId="0" fillId="0" borderId="10" xfId="0" applyNumberFormat="1" applyBorder="1" applyAlignment="1" applyProtection="1">
      <alignment horizontal="left"/>
      <protection locked="0" hidden="1"/>
    </xf>
    <xf numFmtId="164" fontId="0" fillId="0" borderId="7" xfId="0" applyNumberFormat="1" applyBorder="1" applyAlignment="1" applyProtection="1">
      <alignment horizontal="left"/>
      <protection locked="0" hidden="1"/>
    </xf>
    <xf numFmtId="164" fontId="0" fillId="0" borderId="7" xfId="0" applyNumberFormat="1" applyBorder="1" applyProtection="1">
      <protection locked="0" hidden="1"/>
    </xf>
    <xf numFmtId="0" fontId="0" fillId="0" borderId="8" xfId="0" applyBorder="1" applyProtection="1">
      <protection locked="0" hidden="1"/>
    </xf>
    <xf numFmtId="0" fontId="0" fillId="0" borderId="6" xfId="0" applyBorder="1" applyProtection="1">
      <protection locked="0" hidden="1"/>
    </xf>
    <xf numFmtId="164" fontId="2" fillId="0" borderId="1" xfId="0" applyNumberFormat="1" applyFont="1" applyBorder="1" applyAlignment="1" applyProtection="1">
      <alignment wrapText="1"/>
      <protection locked="0" hidden="1"/>
    </xf>
    <xf numFmtId="0" fontId="0" fillId="0" borderId="1" xfId="0" applyBorder="1" applyAlignment="1" applyProtection="1">
      <alignment wrapText="1"/>
      <protection locked="0" hidden="1"/>
    </xf>
    <xf numFmtId="164" fontId="0" fillId="0" borderId="1" xfId="0" applyNumberFormat="1" applyBorder="1" applyAlignment="1" applyProtection="1">
      <alignment wrapText="1"/>
      <protection locked="0" hidden="1"/>
    </xf>
    <xf numFmtId="49" fontId="0" fillId="0" borderId="1" xfId="0" applyNumberFormat="1" applyBorder="1" applyProtection="1">
      <protection locked="0" hidden="1"/>
    </xf>
    <xf numFmtId="0" fontId="0" fillId="0" borderId="0" xfId="0" applyAlignment="1"/>
    <xf numFmtId="164" fontId="0" fillId="0" borderId="2" xfId="0" applyNumberFormat="1" applyBorder="1" applyAlignment="1" applyProtection="1">
      <alignment horizontal="center"/>
      <protection locked="0" hidden="1"/>
    </xf>
    <xf numFmtId="164" fontId="0" fillId="0" borderId="4" xfId="0" applyNumberFormat="1" applyBorder="1" applyAlignment="1" applyProtection="1">
      <alignment horizontal="center"/>
      <protection locked="0" hidden="1"/>
    </xf>
    <xf numFmtId="0" fontId="2" fillId="0" borderId="2" xfId="0" applyFont="1" applyBorder="1" applyAlignment="1" applyProtection="1">
      <alignment horizontal="left"/>
      <protection locked="0" hidden="1"/>
    </xf>
    <xf numFmtId="0" fontId="2" fillId="0" borderId="3" xfId="0" applyFont="1" applyBorder="1" applyAlignment="1" applyProtection="1">
      <alignment horizontal="left"/>
      <protection locked="0" hidden="1"/>
    </xf>
    <xf numFmtId="0" fontId="2" fillId="0" borderId="4" xfId="0" applyFont="1" applyBorder="1" applyAlignment="1" applyProtection="1">
      <alignment horizontal="left"/>
      <protection locked="0" hidden="1"/>
    </xf>
    <xf numFmtId="0" fontId="0" fillId="0" borderId="2" xfId="0" applyBorder="1" applyAlignment="1" applyProtection="1">
      <alignment horizontal="center"/>
      <protection locked="0" hidden="1"/>
    </xf>
    <xf numFmtId="0" fontId="0" fillId="0" borderId="4" xfId="0" applyBorder="1" applyAlignment="1" applyProtection="1">
      <alignment horizontal="center"/>
      <protection locked="0" hidden="1"/>
    </xf>
    <xf numFmtId="0" fontId="0" fillId="0" borderId="3" xfId="0" applyBorder="1" applyAlignment="1" applyProtection="1">
      <alignment horizontal="center"/>
      <protection locked="0" hidden="1"/>
    </xf>
    <xf numFmtId="0" fontId="0" fillId="0" borderId="9" xfId="0" applyBorder="1" applyAlignment="1" applyProtection="1">
      <alignment horizontal="center"/>
      <protection locked="0" hidden="1"/>
    </xf>
    <xf numFmtId="0" fontId="0" fillId="0" borderId="8" xfId="0" applyBorder="1" applyAlignment="1" applyProtection="1">
      <alignment horizontal="center"/>
      <protection locked="0" hidden="1"/>
    </xf>
    <xf numFmtId="0" fontId="0" fillId="0" borderId="0" xfId="0" applyAlignment="1" applyProtection="1">
      <alignment horizontal="center"/>
      <protection locked="0" hidden="1"/>
    </xf>
    <xf numFmtId="0" fontId="0" fillId="0" borderId="6" xfId="0" applyBorder="1" applyAlignment="1" applyProtection="1">
      <alignment horizontal="center"/>
      <protection locked="0" hidden="1"/>
    </xf>
    <xf numFmtId="164" fontId="4" fillId="0" borderId="10" xfId="0" applyNumberFormat="1" applyFont="1" applyBorder="1" applyAlignment="1" applyProtection="1">
      <alignment horizontal="center"/>
      <protection locked="0" hidden="1"/>
    </xf>
    <xf numFmtId="164" fontId="4" fillId="0" borderId="0" xfId="0" applyNumberFormat="1" applyFont="1" applyAlignment="1" applyProtection="1">
      <alignment horizontal="center"/>
      <protection locked="0" hidden="1"/>
    </xf>
    <xf numFmtId="164" fontId="0" fillId="0" borderId="3" xfId="0" applyNumberFormat="1" applyBorder="1" applyAlignment="1" applyProtection="1">
      <alignment horizontal="center"/>
      <protection locked="0" hidden="1"/>
    </xf>
    <xf numFmtId="164" fontId="0" fillId="0" borderId="10" xfId="0" applyNumberFormat="1" applyBorder="1" applyAlignment="1" applyProtection="1">
      <alignment horizontal="left" vertical="top" wrapText="1"/>
      <protection locked="0" hidden="1"/>
    </xf>
    <xf numFmtId="164" fontId="0" fillId="0" borderId="0" xfId="0" applyNumberFormat="1" applyAlignment="1" applyProtection="1">
      <alignment horizontal="left" vertical="top" wrapText="1"/>
      <protection locked="0" hidden="1"/>
    </xf>
    <xf numFmtId="164" fontId="0" fillId="0" borderId="6" xfId="0" applyNumberFormat="1" applyBorder="1" applyAlignment="1" applyProtection="1">
      <alignment horizontal="left" vertical="top" wrapText="1"/>
      <protection locked="0" hidden="1"/>
    </xf>
    <xf numFmtId="164" fontId="0" fillId="0" borderId="11" xfId="0" applyNumberFormat="1" applyBorder="1" applyAlignment="1" applyProtection="1">
      <alignment horizontal="left" vertical="top" wrapText="1"/>
      <protection locked="0" hidden="1"/>
    </xf>
    <xf numFmtId="164" fontId="0" fillId="0" borderId="7" xfId="0" applyNumberFormat="1" applyBorder="1" applyAlignment="1" applyProtection="1">
      <alignment horizontal="left" vertical="top" wrapText="1"/>
      <protection locked="0" hidden="1"/>
    </xf>
    <xf numFmtId="164" fontId="0" fillId="0" borderId="5" xfId="0" applyNumberFormat="1" applyBorder="1" applyAlignment="1" applyProtection="1">
      <alignment horizontal="left" vertical="top" wrapText="1"/>
      <protection locked="0" hidden="1"/>
    </xf>
    <xf numFmtId="0" fontId="0" fillId="0" borderId="1" xfId="0" applyBorder="1" applyAlignment="1" applyProtection="1">
      <protection locked="0" hidden="1"/>
    </xf>
    <xf numFmtId="18" fontId="0" fillId="0" borderId="0" xfId="0" applyNumberFormat="1"/>
    <xf numFmtId="2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alcChain" Target="calcChain.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9FABE-124D-48C5-8C51-6A118C5964BE}">
  <sheetPr codeName="Sheet1"/>
  <dimension ref="A1:G49"/>
  <sheetViews>
    <sheetView tabSelected="1" topLeftCell="A4" workbookViewId="0">
      <selection activeCell="F28" sqref="F28"/>
    </sheetView>
  </sheetViews>
  <sheetFormatPr defaultColWidth="9.140625" defaultRowHeight="14.45"/>
  <cols>
    <col min="1" max="1" width="19.5703125" style="4" bestFit="1" customWidth="1"/>
    <col min="2" max="2" width="10.85546875" style="3" bestFit="1" customWidth="1"/>
    <col min="3" max="3" width="21.5703125" style="3" customWidth="1"/>
    <col min="4" max="4" width="62.28515625" style="2" customWidth="1"/>
    <col min="5" max="5" width="11.5703125" style="2" bestFit="1" customWidth="1"/>
    <col min="6" max="6" width="22.42578125" style="2" bestFit="1" customWidth="1"/>
    <col min="7" max="7" width="13.7109375" style="2" customWidth="1"/>
    <col min="8" max="16384" width="9.140625" style="2"/>
  </cols>
  <sheetData>
    <row r="1" spans="1:7">
      <c r="A1" s="17"/>
      <c r="B1" s="15"/>
      <c r="C1" s="15"/>
      <c r="D1" s="16"/>
      <c r="E1" s="36" t="e" vm="1">
        <v>#VALUE!</v>
      </c>
      <c r="F1" s="36"/>
      <c r="G1" s="37"/>
    </row>
    <row r="2" spans="1:7" ht="18.600000000000001">
      <c r="A2" s="40" t="s">
        <v>0</v>
      </c>
      <c r="B2" s="41"/>
      <c r="C2" s="41"/>
      <c r="D2" s="41"/>
      <c r="E2" s="38"/>
      <c r="F2" s="38"/>
      <c r="G2" s="39"/>
    </row>
    <row r="3" spans="1:7">
      <c r="A3" s="18"/>
      <c r="E3" s="38"/>
      <c r="F3" s="38"/>
      <c r="G3" s="39"/>
    </row>
    <row r="4" spans="1:7">
      <c r="A4" s="5" t="s">
        <v>1</v>
      </c>
      <c r="B4" s="28" t="s">
        <v>2</v>
      </c>
      <c r="C4" s="42"/>
      <c r="D4" s="42"/>
      <c r="E4" s="43" t="s">
        <v>3</v>
      </c>
      <c r="F4" s="44"/>
      <c r="G4" s="45"/>
    </row>
    <row r="5" spans="1:7">
      <c r="A5" s="5" t="s">
        <v>4</v>
      </c>
      <c r="B5" s="28"/>
      <c r="C5" s="42"/>
      <c r="D5" s="42"/>
      <c r="E5" s="43"/>
      <c r="F5" s="44"/>
      <c r="G5" s="45"/>
    </row>
    <row r="6" spans="1:7" ht="15">
      <c r="A6" s="5" t="s">
        <v>5</v>
      </c>
      <c r="B6" s="28" t="s">
        <v>6</v>
      </c>
      <c r="C6" s="42"/>
      <c r="D6" s="42"/>
      <c r="E6" s="43"/>
      <c r="F6" s="44"/>
      <c r="G6" s="45"/>
    </row>
    <row r="7" spans="1:7" ht="14.45" customHeight="1">
      <c r="A7" s="5" t="s">
        <v>7</v>
      </c>
      <c r="B7" s="28" t="s">
        <v>8</v>
      </c>
      <c r="C7" s="42"/>
      <c r="D7" s="29"/>
      <c r="E7" s="43"/>
      <c r="F7" s="44"/>
      <c r="G7" s="45"/>
    </row>
    <row r="8" spans="1:7" ht="15">
      <c r="A8" s="5" t="s">
        <v>9</v>
      </c>
      <c r="B8" s="28" t="s">
        <v>10</v>
      </c>
      <c r="C8" s="42"/>
      <c r="D8" s="42"/>
      <c r="E8" s="43"/>
      <c r="F8" s="44"/>
      <c r="G8" s="45"/>
    </row>
    <row r="9" spans="1:7">
      <c r="A9" s="5" t="s">
        <v>11</v>
      </c>
      <c r="B9" s="28" t="s">
        <v>12</v>
      </c>
      <c r="C9" s="42"/>
      <c r="D9" s="42"/>
      <c r="E9" s="43"/>
      <c r="F9" s="44"/>
      <c r="G9" s="45"/>
    </row>
    <row r="10" spans="1:7">
      <c r="A10" s="5" t="s">
        <v>13</v>
      </c>
      <c r="B10" s="10">
        <v>46023</v>
      </c>
      <c r="C10" s="13"/>
      <c r="D10" s="14">
        <v>29</v>
      </c>
      <c r="E10" s="46"/>
      <c r="F10" s="47"/>
      <c r="G10" s="48"/>
    </row>
    <row r="11" spans="1:7">
      <c r="A11" s="18"/>
      <c r="E11" s="11"/>
      <c r="F11" s="11"/>
      <c r="G11" s="12"/>
    </row>
    <row r="12" spans="1:7">
      <c r="A12" s="5" t="s">
        <v>14</v>
      </c>
      <c r="B12" s="6" t="s">
        <v>15</v>
      </c>
      <c r="C12" s="23" t="s">
        <v>16</v>
      </c>
      <c r="D12" s="7" t="s">
        <v>17</v>
      </c>
      <c r="E12" s="7" t="s">
        <v>18</v>
      </c>
      <c r="F12" s="7" t="s">
        <v>19</v>
      </c>
      <c r="G12" s="7" t="s">
        <v>20</v>
      </c>
    </row>
    <row r="13" spans="1:7" ht="15">
      <c r="A13" s="8">
        <f>IF(ROW(A1)&lt;=DAY(EOMONTH(DATE(YEAR($B$10), MONTH($B$10), 1), 0)), DATE(YEAR($B$10), MONTH($B$10), ROW(A1)), "")</f>
        <v>46023</v>
      </c>
      <c r="B13" s="9" t="str">
        <f>IF(A13&lt;&gt;"", TEXT(A13, "dddd"), "")</f>
        <v>Thursday</v>
      </c>
      <c r="C13" s="24" t="s">
        <v>8</v>
      </c>
      <c r="D13" s="27" t="s">
        <v>21</v>
      </c>
      <c r="E13" s="50">
        <v>0.33333333333333331</v>
      </c>
      <c r="F13" s="50">
        <v>0.72916666666666663</v>
      </c>
      <c r="G13" s="51">
        <f>F13-E13</f>
        <v>0.39583333333333331</v>
      </c>
    </row>
    <row r="14" spans="1:7" ht="15">
      <c r="A14" s="8">
        <f>IF(ROW(A2)&lt;=DAY(EOMONTH(DATE(YEAR($B$10), MONTH($B$10), 1), 0)), DATE(YEAR($B$10), MONTH($B$10), ROW(A2)), "")</f>
        <v>46024</v>
      </c>
      <c r="B14" s="9" t="str">
        <f t="shared" ref="B14:B43" si="0">IF(A14&lt;&gt;"", TEXT(A14, "dddd"), "")</f>
        <v>Friday</v>
      </c>
      <c r="C14" s="24" t="s">
        <v>8</v>
      </c>
      <c r="D14" s="49" t="s">
        <v>22</v>
      </c>
      <c r="E14" s="50">
        <v>0.34375</v>
      </c>
      <c r="F14" s="50">
        <v>0.61458333333333337</v>
      </c>
      <c r="G14" s="51">
        <f t="shared" ref="G14:G42" si="1">F14-E14</f>
        <v>0.27083333333333337</v>
      </c>
    </row>
    <row r="15" spans="1:7" ht="15">
      <c r="A15" s="8">
        <f>IF(ROW(A3)&lt;=DAY(EOMONTH(DATE(YEAR($B$10), MONTH($B$10), 1), 0)), DATE(YEAR($B$10), MONTH($B$10), ROW(A3)), "")</f>
        <v>46025</v>
      </c>
      <c r="B15" s="9" t="str">
        <f t="shared" si="0"/>
        <v>Saturday</v>
      </c>
      <c r="C15" s="24" t="s">
        <v>23</v>
      </c>
      <c r="D15" s="49" t="s">
        <v>23</v>
      </c>
      <c r="E15" s="50">
        <v>0.34027777777777779</v>
      </c>
      <c r="F15" s="50">
        <v>0.71875</v>
      </c>
      <c r="G15" s="51">
        <f t="shared" si="1"/>
        <v>0.37847222222222221</v>
      </c>
    </row>
    <row r="16" spans="1:7" ht="15">
      <c r="A16" s="8">
        <f>IF(ROW(A4)&lt;=DAY(EOMONTH(DATE(YEAR($B$10), MONTH($B$10), 1), 0)), DATE(YEAR($B$10), MONTH($B$10), ROW(A4)), "")</f>
        <v>46026</v>
      </c>
      <c r="B16" s="9" t="str">
        <f t="shared" si="0"/>
        <v>Sunday</v>
      </c>
      <c r="C16" s="24" t="s">
        <v>23</v>
      </c>
      <c r="D16" s="49" t="s">
        <v>23</v>
      </c>
      <c r="E16" t="s">
        <v>23</v>
      </c>
      <c r="F16" t="s">
        <v>23</v>
      </c>
      <c r="G16" t="s">
        <v>23</v>
      </c>
    </row>
    <row r="17" spans="1:7" ht="15">
      <c r="A17" s="8">
        <f>IF(ROW(A5)&lt;=DAY(EOMONTH(DATE(YEAR($B$10), MONTH($B$10), 1), 0)), DATE(YEAR($B$10), MONTH($B$10), ROW(A5)), "")</f>
        <v>46027</v>
      </c>
      <c r="B17" s="9" t="str">
        <f t="shared" si="0"/>
        <v>Monday</v>
      </c>
      <c r="C17" s="24" t="s">
        <v>8</v>
      </c>
      <c r="D17" s="49" t="s">
        <v>24</v>
      </c>
      <c r="E17" t="s">
        <v>23</v>
      </c>
      <c r="F17" t="s">
        <v>23</v>
      </c>
      <c r="G17" t="s">
        <v>23</v>
      </c>
    </row>
    <row r="18" spans="1:7" ht="15">
      <c r="A18" s="8">
        <f>IF(ROW(A6)&lt;=DAY(EOMONTH(DATE(YEAR($B$10), MONTH($B$10), 1), 0)), DATE(YEAR($B$10), MONTH($B$10), ROW(A6)), "")</f>
        <v>46028</v>
      </c>
      <c r="B18" s="9" t="str">
        <f t="shared" si="0"/>
        <v>Tuesday</v>
      </c>
      <c r="C18" s="24" t="s">
        <v>8</v>
      </c>
      <c r="D18" s="49" t="s">
        <v>25</v>
      </c>
      <c r="E18" s="50">
        <v>0.33680555555555558</v>
      </c>
      <c r="F18" s="50">
        <v>0.73611111111111116</v>
      </c>
      <c r="G18" s="51">
        <f t="shared" si="1"/>
        <v>0.39930555555555558</v>
      </c>
    </row>
    <row r="19" spans="1:7" ht="15">
      <c r="A19" s="8">
        <f>IF(ROW(A8)&lt;=DAY(EOMONTH(DATE(YEAR($B$10), MONTH($B$10), 1), 0)), DATE(YEAR($B$10), MONTH($B$10), ROW(A8)), "")</f>
        <v>46030</v>
      </c>
      <c r="B19" s="9" t="str">
        <f t="shared" si="0"/>
        <v>Thursday</v>
      </c>
      <c r="C19" s="24" t="s">
        <v>8</v>
      </c>
      <c r="D19" s="49" t="s">
        <v>26</v>
      </c>
      <c r="E19" s="50">
        <v>0.34722222222222221</v>
      </c>
      <c r="F19" s="50">
        <v>0.74305555555555558</v>
      </c>
      <c r="G19" s="51">
        <f t="shared" si="1"/>
        <v>0.39583333333333337</v>
      </c>
    </row>
    <row r="20" spans="1:7" ht="15">
      <c r="A20" s="8">
        <f>IF(ROW(A9)&lt;=DAY(EOMONTH(DATE(YEAR($B$10), MONTH($B$10), 1), 0)), DATE(YEAR($B$10), MONTH($B$10), ROW(A9)), "")</f>
        <v>46031</v>
      </c>
      <c r="B20" s="9" t="str">
        <f t="shared" si="0"/>
        <v>Friday</v>
      </c>
      <c r="C20" s="24" t="s">
        <v>8</v>
      </c>
      <c r="D20" s="49" t="s">
        <v>27</v>
      </c>
      <c r="E20" s="50">
        <v>0.35069444444444442</v>
      </c>
      <c r="F20" s="50">
        <v>0.57986111111111116</v>
      </c>
      <c r="G20" s="51">
        <f t="shared" si="1"/>
        <v>0.22916666666666674</v>
      </c>
    </row>
    <row r="21" spans="1:7" ht="15">
      <c r="A21" s="8">
        <f>IF(ROW(A10)&lt;=DAY(EOMONTH(DATE(YEAR($B$10), MONTH($B$10), 1), 0)), DATE(YEAR($B$10), MONTH($B$10), ROW(A10)), "")</f>
        <v>46032</v>
      </c>
      <c r="B21" s="9" t="str">
        <f t="shared" si="0"/>
        <v>Saturday</v>
      </c>
      <c r="C21" s="24" t="s">
        <v>23</v>
      </c>
      <c r="D21" s="49" t="s">
        <v>23</v>
      </c>
      <c r="E21" t="s">
        <v>23</v>
      </c>
      <c r="F21" s="24" t="s">
        <v>23</v>
      </c>
      <c r="G21" t="s">
        <v>23</v>
      </c>
    </row>
    <row r="22" spans="1:7" ht="15">
      <c r="A22" s="8">
        <f>IF(ROW(A11)&lt;=DAY(EOMONTH(DATE(YEAR($B$10), MONTH($B$10), 1), 0)), DATE(YEAR($B$10), MONTH($B$10), ROW(A11)), "")</f>
        <v>46033</v>
      </c>
      <c r="B22" s="9" t="str">
        <f t="shared" si="0"/>
        <v>Sunday</v>
      </c>
      <c r="C22" s="24" t="s">
        <v>23</v>
      </c>
      <c r="D22" s="49" t="s">
        <v>23</v>
      </c>
      <c r="E22" t="s">
        <v>23</v>
      </c>
      <c r="F22" s="24" t="s">
        <v>23</v>
      </c>
      <c r="G22" t="s">
        <v>23</v>
      </c>
    </row>
    <row r="23" spans="1:7" ht="15">
      <c r="A23" s="8">
        <f>IF(ROW(A12)&lt;=DAY(EOMONTH(DATE(YEAR($B$10), MONTH($B$10), 1), 0)), DATE(YEAR($B$10), MONTH($B$10), ROW(A12)), "")</f>
        <v>46034</v>
      </c>
      <c r="B23" s="9" t="str">
        <f t="shared" si="0"/>
        <v>Monday</v>
      </c>
      <c r="C23" s="24" t="s">
        <v>8</v>
      </c>
      <c r="D23" s="49" t="s">
        <v>28</v>
      </c>
      <c r="E23" s="50">
        <v>0.33333333333333331</v>
      </c>
      <c r="F23" s="50">
        <v>0.73958333333333337</v>
      </c>
      <c r="G23" s="51">
        <f t="shared" si="1"/>
        <v>0.40625000000000006</v>
      </c>
    </row>
    <row r="24" spans="1:7" ht="15">
      <c r="A24" s="8">
        <f>IF(ROW(A13)&lt;=DAY(EOMONTH(DATE(YEAR($B$10), MONTH($B$10), 1), 0)), DATE(YEAR($B$10), MONTH($B$10), ROW(A13)), "")</f>
        <v>46035</v>
      </c>
      <c r="B24" s="9" t="str">
        <f t="shared" si="0"/>
        <v>Tuesday</v>
      </c>
      <c r="C24" s="24" t="s">
        <v>8</v>
      </c>
      <c r="D24" s="49" t="s">
        <v>29</v>
      </c>
      <c r="E24" s="50">
        <v>0.35416666666666669</v>
      </c>
      <c r="F24" s="50">
        <v>0.75</v>
      </c>
      <c r="G24" s="51">
        <f t="shared" si="1"/>
        <v>0.39583333333333331</v>
      </c>
    </row>
    <row r="25" spans="1:7" ht="15">
      <c r="A25" s="8">
        <f>IF(ROW(A14)&lt;=DAY(EOMONTH(DATE(YEAR($B$10), MONTH($B$10), 1), 0)), DATE(YEAR($B$10), MONTH($B$10), ROW(A14)), "")</f>
        <v>46036</v>
      </c>
      <c r="B25" s="9" t="str">
        <f t="shared" si="0"/>
        <v>Wednesday</v>
      </c>
      <c r="C25" s="24" t="s">
        <v>8</v>
      </c>
      <c r="D25" s="49" t="s">
        <v>30</v>
      </c>
      <c r="E25" s="50">
        <v>0.34027777777777779</v>
      </c>
      <c r="F25" s="50">
        <v>0.72222222222222221</v>
      </c>
      <c r="G25" s="51">
        <f t="shared" si="1"/>
        <v>0.38194444444444442</v>
      </c>
    </row>
    <row r="26" spans="1:7" ht="15">
      <c r="A26" s="8">
        <f>IF(ROW(A15)&lt;=DAY(EOMONTH(DATE(YEAR($B$10), MONTH($B$10), 1), 0)), DATE(YEAR($B$10), MONTH($B$10), ROW(A15)), "")</f>
        <v>46037</v>
      </c>
      <c r="B26" s="9" t="str">
        <f t="shared" si="0"/>
        <v>Thursday</v>
      </c>
      <c r="C26" s="24" t="s">
        <v>8</v>
      </c>
      <c r="D26" s="49" t="s">
        <v>31</v>
      </c>
      <c r="E26" s="50">
        <v>0.33680555555555558</v>
      </c>
      <c r="F26" s="50">
        <v>0.73263888888888884</v>
      </c>
      <c r="G26" s="51">
        <f t="shared" si="1"/>
        <v>0.39583333333333326</v>
      </c>
    </row>
    <row r="27" spans="1:7" ht="15">
      <c r="A27" s="8">
        <f>IF(ROW(A16)&lt;=DAY(EOMONTH(DATE(YEAR($B$10), MONTH($B$10), 1), 0)), DATE(YEAR($B$10), MONTH($B$10), ROW(A16)), "")</f>
        <v>46038</v>
      </c>
      <c r="B27" s="9" t="str">
        <f t="shared" si="0"/>
        <v>Friday</v>
      </c>
      <c r="C27" s="24" t="s">
        <v>8</v>
      </c>
      <c r="D27" s="49" t="s">
        <v>32</v>
      </c>
      <c r="E27" s="50">
        <v>0.34722222222222221</v>
      </c>
      <c r="F27" s="50">
        <v>0.61805555555555558</v>
      </c>
      <c r="G27" s="51">
        <f t="shared" si="1"/>
        <v>0.27083333333333337</v>
      </c>
    </row>
    <row r="28" spans="1:7" ht="15">
      <c r="A28" s="8">
        <f>IF(ROW(A17)&lt;=DAY(EOMONTH(DATE(YEAR($B$10), MONTH($B$10), 1), 0)), DATE(YEAR($B$10), MONTH($B$10), ROW(A17)), "")</f>
        <v>46039</v>
      </c>
      <c r="B28" s="9" t="str">
        <f t="shared" si="0"/>
        <v>Saturday</v>
      </c>
      <c r="C28" s="24" t="s">
        <v>23</v>
      </c>
      <c r="D28" s="49" t="s">
        <v>23</v>
      </c>
      <c r="E28" t="s">
        <v>23</v>
      </c>
      <c r="F28" t="s">
        <v>23</v>
      </c>
      <c r="G28" t="s">
        <v>23</v>
      </c>
    </row>
    <row r="29" spans="1:7" ht="15">
      <c r="A29" s="8">
        <f>IF(ROW(A18)&lt;=DAY(EOMONTH(DATE(YEAR($B$10), MONTH($B$10), 1), 0)), DATE(YEAR($B$10), MONTH($B$10), ROW(A18)), "")</f>
        <v>46040</v>
      </c>
      <c r="B29" s="9" t="str">
        <f t="shared" si="0"/>
        <v>Sunday</v>
      </c>
      <c r="C29" s="24" t="s">
        <v>23</v>
      </c>
      <c r="D29" s="49" t="s">
        <v>23</v>
      </c>
      <c r="E29" t="s">
        <v>23</v>
      </c>
      <c r="F29" t="s">
        <v>23</v>
      </c>
      <c r="G29" t="s">
        <v>23</v>
      </c>
    </row>
    <row r="30" spans="1:7" ht="15">
      <c r="A30" s="8">
        <f>IF(ROW(A19)&lt;=DAY(EOMONTH(DATE(YEAR($B$10), MONTH($B$10), 1), 0)), DATE(YEAR($B$10), MONTH($B$10), ROW(A19)), "")</f>
        <v>46041</v>
      </c>
      <c r="B30" s="9" t="str">
        <f t="shared" si="0"/>
        <v>Monday</v>
      </c>
      <c r="C30" s="24" t="s">
        <v>8</v>
      </c>
      <c r="D30" s="49" t="s">
        <v>33</v>
      </c>
      <c r="E30" s="50">
        <v>0.35416666666666669</v>
      </c>
      <c r="F30" s="50">
        <v>0.75</v>
      </c>
      <c r="G30" s="51">
        <f t="shared" si="1"/>
        <v>0.39583333333333331</v>
      </c>
    </row>
    <row r="31" spans="1:7" ht="15">
      <c r="A31" s="8">
        <f>IF(ROW(A20)&lt;=DAY(EOMONTH(DATE(YEAR($B$10), MONTH($B$10), 1), 0)), DATE(YEAR($B$10), MONTH($B$10), ROW(A20)), "")</f>
        <v>46042</v>
      </c>
      <c r="B31" s="9" t="str">
        <f t="shared" si="0"/>
        <v>Tuesday</v>
      </c>
      <c r="C31" s="24" t="s">
        <v>8</v>
      </c>
      <c r="D31" s="49" t="s">
        <v>34</v>
      </c>
      <c r="E31" s="50">
        <v>0.34027777777777779</v>
      </c>
      <c r="F31" s="50">
        <v>0.72222222222222221</v>
      </c>
      <c r="G31" s="51">
        <f t="shared" si="1"/>
        <v>0.38194444444444442</v>
      </c>
    </row>
    <row r="32" spans="1:7" ht="15">
      <c r="A32" s="8">
        <f>IF(ROW(A21)&lt;=DAY(EOMONTH(DATE(YEAR($B$10), MONTH($B$10), 1), 0)), DATE(YEAR($B$10), MONTH($B$10), ROW(A21)), "")</f>
        <v>46043</v>
      </c>
      <c r="B32" s="9" t="str">
        <f t="shared" si="0"/>
        <v>Wednesday</v>
      </c>
      <c r="C32" s="24" t="s">
        <v>8</v>
      </c>
      <c r="D32" s="49" t="s">
        <v>35</v>
      </c>
      <c r="E32" s="50">
        <v>0.34027777777777779</v>
      </c>
      <c r="F32" s="50">
        <v>0.73611111111111116</v>
      </c>
      <c r="G32" s="51">
        <f t="shared" si="1"/>
        <v>0.39583333333333337</v>
      </c>
    </row>
    <row r="33" spans="1:7" ht="15">
      <c r="A33" s="8">
        <f>IF(ROW(A22)&lt;=DAY(EOMONTH(DATE(YEAR($B$10), MONTH($B$10), 1), 0)), DATE(YEAR($B$10), MONTH($B$10), ROW(A22)), "")</f>
        <v>46044</v>
      </c>
      <c r="B33" s="9" t="str">
        <f t="shared" si="0"/>
        <v>Thursday</v>
      </c>
      <c r="C33" s="24" t="s">
        <v>8</v>
      </c>
      <c r="D33" s="49" t="s">
        <v>36</v>
      </c>
      <c r="E33" s="50">
        <v>0.34027777777777779</v>
      </c>
      <c r="F33" s="50">
        <v>0.72222222222222221</v>
      </c>
      <c r="G33" s="51">
        <f t="shared" si="1"/>
        <v>0.38194444444444442</v>
      </c>
    </row>
    <row r="34" spans="1:7" ht="15">
      <c r="A34" s="8">
        <f>IF(ROW(A23)&lt;=DAY(EOMONTH(DATE(YEAR($B$10), MONTH($B$10), 1), 0)), DATE(YEAR($B$10), MONTH($B$10), ROW(A23)), "")</f>
        <v>46045</v>
      </c>
      <c r="B34" s="9" t="str">
        <f t="shared" si="0"/>
        <v>Friday</v>
      </c>
      <c r="C34" s="24" t="s">
        <v>8</v>
      </c>
      <c r="D34" s="49" t="s">
        <v>37</v>
      </c>
      <c r="E34" s="50">
        <v>0.34722222222222221</v>
      </c>
      <c r="F34" s="50">
        <v>0.57638888888888884</v>
      </c>
      <c r="G34" s="51">
        <f t="shared" si="1"/>
        <v>0.22916666666666663</v>
      </c>
    </row>
    <row r="35" spans="1:7" ht="15">
      <c r="A35" s="8">
        <f>IF(ROW(A24)&lt;=DAY(EOMONTH(DATE(YEAR($B$10), MONTH($B$10), 1), 0)), DATE(YEAR($B$10), MONTH($B$10), ROW(A24)), "")</f>
        <v>46046</v>
      </c>
      <c r="B35" s="9" t="str">
        <f t="shared" si="0"/>
        <v>Saturday</v>
      </c>
      <c r="C35" s="24" t="s">
        <v>23</v>
      </c>
      <c r="D35" s="49" t="s">
        <v>23</v>
      </c>
      <c r="E35" s="24" t="s">
        <v>23</v>
      </c>
      <c r="F35" s="24" t="s">
        <v>23</v>
      </c>
      <c r="G35" t="s">
        <v>23</v>
      </c>
    </row>
    <row r="36" spans="1:7" ht="15">
      <c r="A36" s="8">
        <f>IF(ROW(A25)&lt;=DAY(EOMONTH(DATE(YEAR($B$10), MONTH($B$10), 1), 0)), DATE(YEAR($B$10), MONTH($B$10), ROW(A25)), "")</f>
        <v>46047</v>
      </c>
      <c r="B36" s="9" t="str">
        <f t="shared" si="0"/>
        <v>Sunday</v>
      </c>
      <c r="C36" s="24" t="s">
        <v>23</v>
      </c>
      <c r="D36" s="49" t="s">
        <v>23</v>
      </c>
      <c r="E36" s="24" t="s">
        <v>23</v>
      </c>
      <c r="F36" s="24" t="s">
        <v>23</v>
      </c>
      <c r="G36" t="s">
        <v>23</v>
      </c>
    </row>
    <row r="37" spans="1:7" ht="15">
      <c r="A37" s="8">
        <f>IF(ROW(A26)&lt;=DAY(EOMONTH(DATE(YEAR($B$10), MONTH($B$10), 1), 0)), DATE(YEAR($B$10), MONTH($B$10), ROW(A26)), "")</f>
        <v>46048</v>
      </c>
      <c r="B37" s="9" t="str">
        <f t="shared" si="0"/>
        <v>Monday</v>
      </c>
      <c r="C37" s="24" t="s">
        <v>8</v>
      </c>
      <c r="D37" s="49" t="s">
        <v>38</v>
      </c>
      <c r="E37" s="50">
        <v>0.34375</v>
      </c>
      <c r="F37" s="50">
        <v>0.73958333333333337</v>
      </c>
      <c r="G37" s="51">
        <f t="shared" si="1"/>
        <v>0.39583333333333337</v>
      </c>
    </row>
    <row r="38" spans="1:7" ht="15">
      <c r="A38" s="8">
        <f>IF(ROW(A27)&lt;=DAY(EOMONTH(DATE(YEAR($B$10), MONTH($B$10), 1), 0)), DATE(YEAR($B$10), MONTH($B$10), ROW(A27)), "")</f>
        <v>46049</v>
      </c>
      <c r="B38" s="9" t="str">
        <f t="shared" si="0"/>
        <v>Tuesday</v>
      </c>
      <c r="C38" s="24" t="s">
        <v>39</v>
      </c>
      <c r="D38" s="49" t="s">
        <v>39</v>
      </c>
      <c r="E38" s="24" t="s">
        <v>39</v>
      </c>
      <c r="F38" s="24" t="s">
        <v>39</v>
      </c>
      <c r="G38" s="24" t="s">
        <v>39</v>
      </c>
    </row>
    <row r="39" spans="1:7" ht="15">
      <c r="A39" s="8">
        <f>IF(ROW(A28)&lt;=DAY(EOMONTH(DATE(YEAR($B$10), MONTH($B$10), 1), 0)), DATE(YEAR($B$10), MONTH($B$10), ROW(A28)), "")</f>
        <v>46050</v>
      </c>
      <c r="B39" s="9" t="str">
        <f t="shared" si="0"/>
        <v>Wednesday</v>
      </c>
      <c r="C39" s="24" t="s">
        <v>39</v>
      </c>
      <c r="D39" s="49" t="s">
        <v>39</v>
      </c>
      <c r="E39" s="24" t="s">
        <v>39</v>
      </c>
      <c r="F39" s="24" t="s">
        <v>39</v>
      </c>
      <c r="G39" s="24" t="s">
        <v>39</v>
      </c>
    </row>
    <row r="40" spans="1:7" ht="15">
      <c r="A40" s="8">
        <f>IF(ROW(A29)&lt;=DAY(EOMONTH(DATE(YEAR($B$10), MONTH($B$10), 1), 0)), DATE(YEAR($B$10), MONTH($B$10), ROW(A29)), "")</f>
        <v>46051</v>
      </c>
      <c r="B40" s="9" t="str">
        <f>IF(A40&lt;&gt;"", TEXT(A40, "dddd"), "")</f>
        <v>Thursday</v>
      </c>
      <c r="C40" s="24" t="s">
        <v>8</v>
      </c>
      <c r="D40" s="49" t="s">
        <v>40</v>
      </c>
      <c r="E40" s="50">
        <v>0.34375</v>
      </c>
      <c r="F40" s="50">
        <v>0.73958333333333337</v>
      </c>
      <c r="G40" s="51">
        <f t="shared" si="1"/>
        <v>0.39583333333333337</v>
      </c>
    </row>
    <row r="41" spans="1:7" ht="15">
      <c r="A41" s="8">
        <f>IF(ROW(A30)&lt;=DAY(EOMONTH(DATE(YEAR($B$10), MONTH($B$10), 1), 0)), DATE(YEAR($B$10), MONTH($B$10), ROW(A30)), "")</f>
        <v>46052</v>
      </c>
      <c r="B41" s="9" t="str">
        <f t="shared" si="0"/>
        <v>Friday</v>
      </c>
      <c r="C41" s="24" t="s">
        <v>8</v>
      </c>
      <c r="D41" s="49" t="s">
        <v>41</v>
      </c>
      <c r="E41" s="50">
        <v>0.34027777777777779</v>
      </c>
      <c r="F41" s="50">
        <v>0.67708333333333337</v>
      </c>
      <c r="G41" s="51">
        <f t="shared" si="1"/>
        <v>0.33680555555555558</v>
      </c>
    </row>
    <row r="42" spans="1:7" ht="15">
      <c r="A42" s="8">
        <f>IF(ROW(A31)&lt;=DAY(EOMONTH(DATE(YEAR($B$10), MONTH($B$10), 1), 0)), DATE(YEAR($B$10), MONTH($B$10), ROW(A31)), "")</f>
        <v>46053</v>
      </c>
      <c r="B42" s="9" t="str">
        <f t="shared" si="0"/>
        <v>Saturday</v>
      </c>
      <c r="C42" s="24" t="s">
        <v>23</v>
      </c>
      <c r="D42" s="24" t="s">
        <v>23</v>
      </c>
      <c r="E42" s="24" t="s">
        <v>23</v>
      </c>
      <c r="F42" s="24" t="s">
        <v>23</v>
      </c>
      <c r="G42" t="s">
        <v>23</v>
      </c>
    </row>
    <row r="43" spans="1:7">
      <c r="A43" s="8" t="str">
        <f>IF(ROW(A32)&lt;=DAY(EOMONTH(DATE(YEAR($B$10), MONTH($B$10), 1), 0)), DATE(YEAR($B$10), MONTH($B$10), ROW(A32)), "")</f>
        <v/>
      </c>
      <c r="B43" s="9" t="str">
        <f t="shared" si="0"/>
        <v/>
      </c>
      <c r="C43" s="25"/>
      <c r="D43" s="9"/>
      <c r="E43" s="26"/>
      <c r="F43" s="26"/>
      <c r="G43" s="9"/>
    </row>
    <row r="44" spans="1:7" ht="15">
      <c r="A44" s="18"/>
      <c r="F44" s="16"/>
      <c r="G44" s="21"/>
    </row>
    <row r="45" spans="1:7" ht="14.45" customHeight="1">
      <c r="A45" s="5" t="s">
        <v>42</v>
      </c>
      <c r="B45" s="28" t="s">
        <v>43</v>
      </c>
      <c r="C45" s="29"/>
      <c r="D45" s="30" t="s">
        <v>44</v>
      </c>
      <c r="E45" s="31"/>
      <c r="F45" s="35" t="s">
        <v>10</v>
      </c>
      <c r="G45" s="34"/>
    </row>
    <row r="46" spans="1:7" ht="15">
      <c r="A46" s="5" t="s">
        <v>45</v>
      </c>
      <c r="B46" s="28"/>
      <c r="C46" s="29"/>
      <c r="D46" s="30" t="s">
        <v>46</v>
      </c>
      <c r="E46" s="32"/>
      <c r="F46" s="33"/>
      <c r="G46" s="34"/>
    </row>
    <row r="47" spans="1:7">
      <c r="A47" s="18"/>
      <c r="G47" s="22"/>
    </row>
    <row r="48" spans="1:7">
      <c r="A48" s="18"/>
      <c r="G48" s="22"/>
    </row>
    <row r="49" spans="1:7">
      <c r="A49" s="19"/>
      <c r="B49" s="20"/>
      <c r="C49" s="20"/>
      <c r="D49" s="11"/>
      <c r="E49" s="11"/>
      <c r="F49" s="11"/>
      <c r="G49" s="12"/>
    </row>
  </sheetData>
  <mergeCells count="15">
    <mergeCell ref="E1:G3"/>
    <mergeCell ref="A2:D2"/>
    <mergeCell ref="B4:D4"/>
    <mergeCell ref="E4:G10"/>
    <mergeCell ref="B5:D5"/>
    <mergeCell ref="B6:D6"/>
    <mergeCell ref="B8:D8"/>
    <mergeCell ref="B9:D9"/>
    <mergeCell ref="B7:D7"/>
    <mergeCell ref="B45:C45"/>
    <mergeCell ref="D45:E45"/>
    <mergeCell ref="B46:C46"/>
    <mergeCell ref="D46:E46"/>
    <mergeCell ref="F46:G46"/>
    <mergeCell ref="F45:G45"/>
  </mergeCells>
  <pageMargins left="0.7" right="0.7" top="0.75" bottom="0.75" header="0.3" footer="0.3"/>
  <ignoredErrors>
    <ignoredError sqref="A30:B30 A13:B13 A14:A26 A27:B29 A31:B43 B14:B26" unlocked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promptTitle="Select the month" prompt="Select the month" xr:uid="{EF61A53A-AD54-41E4-8F7B-5F32DFA7221E}">
          <x14:formula1>
            <xm:f>Sheet2!$A$1:$A$12</xm:f>
          </x14:formula1>
          <xm:sqref>B10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E9FFC-B7E6-4D7F-928C-D91BFD53727E}">
  <sheetPr codeName="Sheet2"/>
  <dimension ref="A1:H12"/>
  <sheetViews>
    <sheetView workbookViewId="0">
      <selection activeCell="D9" sqref="D9"/>
    </sheetView>
  </sheetViews>
  <sheetFormatPr defaultRowHeight="14.45"/>
  <sheetData>
    <row r="1" spans="1:8">
      <c r="A1" s="1">
        <v>46023</v>
      </c>
    </row>
    <row r="2" spans="1:8">
      <c r="A2" s="1">
        <v>46054</v>
      </c>
    </row>
    <row r="3" spans="1:8">
      <c r="A3" s="1">
        <v>46082</v>
      </c>
    </row>
    <row r="4" spans="1:8">
      <c r="A4" s="1">
        <v>46113</v>
      </c>
    </row>
    <row r="5" spans="1:8">
      <c r="A5" s="1">
        <v>46143</v>
      </c>
    </row>
    <row r="6" spans="1:8">
      <c r="A6" s="1">
        <v>46174</v>
      </c>
    </row>
    <row r="7" spans="1:8">
      <c r="A7" s="1">
        <v>46204</v>
      </c>
    </row>
    <row r="8" spans="1:8">
      <c r="A8" s="1">
        <v>46235</v>
      </c>
    </row>
    <row r="9" spans="1:8">
      <c r="A9" s="1">
        <v>46266</v>
      </c>
    </row>
    <row r="10" spans="1:8">
      <c r="A10" s="1">
        <v>46296</v>
      </c>
      <c r="H10" s="10"/>
    </row>
    <row r="11" spans="1:8">
      <c r="A11" s="1">
        <v>46327</v>
      </c>
    </row>
    <row r="12" spans="1:8">
      <c r="A12" s="1">
        <v>46357</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sree lekha</dc:creator>
  <cp:keywords/>
  <dc:description/>
  <cp:lastModifiedBy>Syed Anas</cp:lastModifiedBy>
  <cp:revision/>
  <dcterms:created xsi:type="dcterms:W3CDTF">2024-06-14T03:02:07Z</dcterms:created>
  <dcterms:modified xsi:type="dcterms:W3CDTF">2026-01-31T14:02:17Z</dcterms:modified>
  <cp:category/>
  <cp:contentStatus/>
</cp:coreProperties>
</file>